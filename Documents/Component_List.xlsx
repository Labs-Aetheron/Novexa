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HEXAPOD\"/>
    </mc:Choice>
  </mc:AlternateContent>
  <xr:revisionPtr revIDLastSave="0" documentId="13_ncr:1_{E50EDAD4-19BF-4BA3-8DCF-5ED828CAEA3B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Robu.in Purchases" sheetId="1" r:id="rId1"/>
    <sheet name="Lamington Road" sheetId="2" r:id="rId2"/>
    <sheet name="Recommended Extras" sheetId="3" state="hidden" r:id="rId3"/>
    <sheet name="Overall Evaluation" sheetId="4" r:id="rId4"/>
    <sheet name="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C17" i="2"/>
  <c r="H17" i="2"/>
  <c r="D17" i="2"/>
  <c r="H15" i="2"/>
  <c r="H23" i="1"/>
  <c r="D23" i="1"/>
  <c r="C23" i="1"/>
</calcChain>
</file>

<file path=xl/sharedStrings.xml><?xml version="1.0" encoding="utf-8"?>
<sst xmlns="http://schemas.openxmlformats.org/spreadsheetml/2006/main" count="216" uniqueCount="201">
  <si>
    <t>Sr</t>
  </si>
  <si>
    <t>Component</t>
  </si>
  <si>
    <t>Qty</t>
  </si>
  <si>
    <t>Unit Price (₹)</t>
  </si>
  <si>
    <t>Specification / Model</t>
  </si>
  <si>
    <t>Function / Requirement</t>
  </si>
  <si>
    <t>Suitability / Comment</t>
  </si>
  <si>
    <t>Total (₹)</t>
  </si>
  <si>
    <t>RF Transmitter Receiver Module 433MHz Wireless Link Kit For Arduino</t>
  </si>
  <si>
    <t>15CM SMA Female to IPEX4 Connector Cable 11mm RG0.81</t>
  </si>
  <si>
    <t>2S 5A 8.4V 18650 Lithium Battery Charger Board Protection Module</t>
  </si>
  <si>
    <t>PDC004-PD PD Decoy Module 12V</t>
  </si>
  <si>
    <t>4S 16.8V 2A 18650 Lithium Battery Charger Module Type C</t>
  </si>
  <si>
    <t>4 Series 40A 18650 Lithium Battery Protection Board</t>
  </si>
  <si>
    <t>2S 10A 18650 Battery Protection Board</t>
  </si>
  <si>
    <t>Littelfuse MAXI 0299040 40 A Fuse</t>
  </si>
  <si>
    <t>5×20 mm Glass Fuse 10 A</t>
  </si>
  <si>
    <t>Toggle Switch KNX‑209</t>
  </si>
  <si>
    <t>KCD2‑201 DPST Rocker Switch (ON‑OFF)</t>
  </si>
  <si>
    <t>Mini MP1584 DC‑DC 3 A Adjustable Buck Module</t>
  </si>
  <si>
    <t>200 W 20 A CC/CV Buck Converter</t>
  </si>
  <si>
    <t>4700 µF 50 V Electrolytic Capacitor</t>
  </si>
  <si>
    <t>0.1 µF Ceramic Capacitor SMD 1206</t>
  </si>
  <si>
    <t>SMBJ6.8CA TVS Diode</t>
  </si>
  <si>
    <t>Rubycon 220 µF 10 V (10YXJ220M5X11)</t>
  </si>
  <si>
    <t>Male‑Male Jumper Wires 20 cm (40 pcs)</t>
  </si>
  <si>
    <t>Male‑Female Jumper Wires 10 cm (40 pcs)</t>
  </si>
  <si>
    <t>Amass XT60I‑F.G.O Female Connector</t>
  </si>
  <si>
    <t>Nickel Strip 0.1 × 4 × 100 mm (50 pcs)</t>
  </si>
  <si>
    <t>433 MHz Link Kit</t>
  </si>
  <si>
    <t>RG0.81, 15 cm</t>
  </si>
  <si>
    <t>2S Charger (may include protection)</t>
  </si>
  <si>
    <t>USB‑C PD trigger (12 V)</t>
  </si>
  <si>
    <t>4S charger</t>
  </si>
  <si>
    <t>4S 14.8–16.8 V with balance</t>
  </si>
  <si>
    <t>2S 7.4–8.4 V</t>
  </si>
  <si>
    <t>MAXI 299, 32 V</t>
  </si>
  <si>
    <t>Glass Fuse 10 A</t>
  </si>
  <si>
    <t>SPST</t>
  </si>
  <si>
    <t>DPST 4‑pin</t>
  </si>
  <si>
    <t>MP1584 3 A</t>
  </si>
  <si>
    <t>6–40 V → adj; CC/CV</t>
  </si>
  <si>
    <t>50 V bulk cap</t>
  </si>
  <si>
    <t>100 nF</t>
  </si>
  <si>
    <t>6.8 V bidirectional 600 W</t>
  </si>
  <si>
    <t>Low‑ESR 10 V</t>
  </si>
  <si>
    <t>Dupont 20 cm</t>
  </si>
  <si>
    <t>Dupont 10 cm</t>
  </si>
  <si>
    <t>XT60 30 A+</t>
  </si>
  <si>
    <t>Pure nickel</t>
  </si>
  <si>
    <t>Remote control communication</t>
  </si>
  <si>
    <t>Antenna pigtails for TX/RX</t>
  </si>
  <si>
    <t>Charge logic 2S pack</t>
  </si>
  <si>
    <t>Single‑port charging hub</t>
  </si>
  <si>
    <t>Charge servo 4S pack</t>
  </si>
  <si>
    <t>Servo pack protection</t>
  </si>
  <si>
    <t>Logic pack protection</t>
  </si>
  <si>
    <t>Main 4S line fuse</t>
  </si>
  <si>
    <t>Secondary protection (logic/charger lines)</t>
  </si>
  <si>
    <t>Remote power</t>
  </si>
  <si>
    <t>Master switch (4S + 2S)</t>
  </si>
  <si>
    <t>5 V logic rail</t>
  </si>
  <si>
    <t>5.8 V servo rails (two bucks)</t>
  </si>
  <si>
    <t>Servo rail surge buffer</t>
  </si>
  <si>
    <t>HF decoupling at buck outputs</t>
  </si>
  <si>
    <t>Clamp servo rail spikes</t>
  </si>
  <si>
    <t>Logic buck smoothing</t>
  </si>
  <si>
    <t>Signals / prototyping</t>
  </si>
  <si>
    <t>Logic interconnect</t>
  </si>
  <si>
    <t>Battery/rail connectors</t>
  </si>
  <si>
    <t>Cell interconnects</t>
  </si>
  <si>
    <t>Works perfectly for basic wireless rover control</t>
  </si>
  <si>
    <t>Proper impedance for 433 MHz RF; one for TX, one for RX</t>
  </si>
  <si>
    <t>OK; verify overlap with 2S BMS</t>
  </si>
  <si>
    <t>Excellent choice, 60 W PD sink</t>
  </si>
  <si>
    <t>Check VIN range (5–12 V)</t>
  </si>
  <si>
    <t>Correct for high-current pack</t>
  </si>
  <si>
    <t>Suitable for Arduino/sensors</t>
  </si>
  <si>
    <t>Industrial-grade protection</t>
  </si>
  <si>
    <t>Simple protection</t>
  </si>
  <si>
    <t>Use in handheld remote</t>
  </si>
  <si>
    <t>Ideal dual-battery control</t>
  </si>
  <si>
    <t>Efficient small buck for Arduino; one spare</t>
  </si>
  <si>
    <t>Good current &amp; thermal headroom</t>
  </si>
  <si>
    <t>Prevents voltage dips when servos spike</t>
  </si>
  <si>
    <t>Filters switching noise</t>
  </si>
  <si>
    <t>Protects buck from back-EMF</t>
  </si>
  <si>
    <t>Top quality, high ripple tolerance</t>
  </si>
  <si>
    <t>Useful for testing</t>
  </si>
  <si>
    <t>Standard Arduino links</t>
  </si>
  <si>
    <t>Reliable gold‑plated terminals</t>
  </si>
  <si>
    <t>Optional; helps in pack build</t>
  </si>
  <si>
    <t>MG995 Servo Motor</t>
  </si>
  <si>
    <t>Joystick Module</t>
  </si>
  <si>
    <t>PCA9685 16‑Ch Servo Board</t>
  </si>
  <si>
    <t>Arduino Mega 2560</t>
  </si>
  <si>
    <t>Arduino Nano</t>
  </si>
  <si>
    <t>MPU6050 IMU</t>
  </si>
  <si>
    <t>Arduino Nano USB Cable</t>
  </si>
  <si>
    <t>Resistors (assorted)</t>
  </si>
  <si>
    <t>Switches (misc)</t>
  </si>
  <si>
    <t>18650 Li‑ion Cells</t>
  </si>
  <si>
    <t>Wire stripper</t>
  </si>
  <si>
    <t>Screw &amp; Nut pack (50 pcs)</t>
  </si>
  <si>
    <t>Soldering wire</t>
  </si>
  <si>
    <t>Copper wire (4 m)</t>
  </si>
  <si>
    <t>≈9 kg·cm</t>
  </si>
  <si>
    <t>Analog dual‑axis</t>
  </si>
  <si>
    <t>16‑ch PWM</t>
  </si>
  <si>
    <t>Main MCU</t>
  </si>
  <si>
    <t>ATmega328</t>
  </si>
  <si>
    <t>6‑axis</t>
  </si>
  <si>
    <t>USB</t>
  </si>
  <si>
    <t>¼ W</t>
  </si>
  <si>
    <t>Mini toggle</t>
  </si>
  <si>
    <t>3.7 V 2600 mAh</t>
  </si>
  <si>
    <t>Tool</t>
  </si>
  <si>
    <t>Assortment</t>
  </si>
  <si>
    <t>Flux core</t>
  </si>
  <si>
    <t>Bare copper</t>
  </si>
  <si>
    <t>Actuators (18 used + 2 spare)</t>
  </si>
  <si>
    <t>Remote input</t>
  </si>
  <si>
    <t>Servo signal driver</t>
  </si>
  <si>
    <t>Robot control</t>
  </si>
  <si>
    <t>Remote / aux control</t>
  </si>
  <si>
    <t>Stability sensing</t>
  </si>
  <si>
    <t>Programming Nano</t>
  </si>
  <si>
    <t>LEDs / dividers</t>
  </si>
  <si>
    <t>Misc toggling</t>
  </si>
  <si>
    <t>Batteries for packs</t>
  </si>
  <si>
    <t>Assembly</t>
  </si>
  <si>
    <t>Frame and mounts</t>
  </si>
  <si>
    <t>Perfect for hexapod legs</t>
  </si>
  <si>
    <t>Ideal for handheld remote</t>
  </si>
  <si>
    <t>Required (2 boards total)</t>
  </si>
  <si>
    <t>Excellent for many I/O</t>
  </si>
  <si>
    <t>Good secondary MCU</t>
  </si>
  <si>
    <t>Good for balance</t>
  </si>
  <si>
    <t>Required connectivity</t>
  </si>
  <si>
    <t>Basic electronics need</t>
  </si>
  <si>
    <t>Standard</t>
  </si>
  <si>
    <t>Right capacity class</t>
  </si>
  <si>
    <t>Essential tool</t>
  </si>
  <si>
    <t>Useful hardware</t>
  </si>
  <si>
    <t>Required for wiring</t>
  </si>
  <si>
    <t>Not for high current</t>
  </si>
  <si>
    <t>Item</t>
  </si>
  <si>
    <t>Suggested Qty</t>
  </si>
  <si>
    <t>Approx Price (₹)</t>
  </si>
  <si>
    <t>Reason / Notes</t>
  </si>
  <si>
    <t>Silicone Wire 12 AWG (red/black)</t>
  </si>
  <si>
    <t>Silicone Wire 14 AWG (red/black)</t>
  </si>
  <si>
    <t>Silicone Wire 18 AWG (red/black)</t>
  </si>
  <si>
    <t>Silicone Wire 22–24 AWG</t>
  </si>
  <si>
    <t>MAXI 40 A Fuse Holder</t>
  </si>
  <si>
    <t>Inline 5×20 mm Fuse Holders</t>
  </si>
  <si>
    <t>JST‑XH Balance Leads (5‑pin &amp; 3‑pin)</t>
  </si>
  <si>
    <t>12 V Cooling Fans (40–60 mm)</t>
  </si>
  <si>
    <t>Heat‑shrink Assortment</t>
  </si>
  <si>
    <t>2 m each</t>
  </si>
  <si>
    <t>1</t>
  </si>
  <si>
    <t>2</t>
  </si>
  <si>
    <t>2 sets</t>
  </si>
  <si>
    <t>1 pack</t>
  </si>
  <si>
    <t>4S battery → fuse → switch → servo buck (high current)</t>
  </si>
  <si>
    <t>Servo buck → PCA boards (5.8 V rail)</t>
  </si>
  <si>
    <t>2S pack → MP1584 input (logic path)</t>
  </si>
  <si>
    <t>Arduino/PCA logic &amp; signal wiring</t>
  </si>
  <si>
    <t>Holds Littelfuse MAXI 40 A on 4S main line</t>
  </si>
  <si>
    <t>For 10 A logic line &amp; 2–3 A charge lines</t>
  </si>
  <si>
    <t>Balance connections for 4S and 2S packs</t>
  </si>
  <si>
    <t>Active cooling for each 20 A buck</t>
  </si>
  <si>
    <t>Insulation on soldered joints / strain relief</t>
  </si>
  <si>
    <t>Aspect</t>
  </si>
  <si>
    <t>Comment</t>
  </si>
  <si>
    <t>Power architecture</t>
  </si>
  <si>
    <t>Protection</t>
  </si>
  <si>
    <t>Servo supply</t>
  </si>
  <si>
    <t>Logic supply</t>
  </si>
  <si>
    <t>Grounding</t>
  </si>
  <si>
    <t>Wiring</t>
  </si>
  <si>
    <t>Charging</t>
  </si>
  <si>
    <t>Scalability</t>
  </si>
  <si>
    <t>Dual-battery (4S servos, 2S logic) with separate bucks; clean, stable; single USB‑C input charges both packs.</t>
  </si>
  <si>
    <t>BMS on both packs, main 40 A fuse, logic fuses, bulk caps + ceramic + TVS; robust against shorts and surges.</t>
  </si>
  <si>
    <t>Two 20 A CC/CV bucks (one per PCA board) set to ~5.8 V; good thermal headroom with fans.</t>
  </si>
  <si>
    <t>MP1584 set to 5.00 V; low‑ESR 220 µF + 0.1 µF at output; powers Arduino + PCA logic reliably.</t>
  </si>
  <si>
    <t>Common star ground between servo and logic rails; prevents signal reference issues.</t>
  </si>
  <si>
    <t>Use silicone multi‑strand; correct gauge selection prevents drops/heating; XT60 connectors for reliability.</t>
  </si>
  <si>
    <t>PD decoy → 4S &amp; 2S chargers; chargers wired directly to BMS P+/P− via small fuses; master switch OFF when charging.</t>
  </si>
  <si>
    <t>Two rails and PCA stack make expansion easy; spares included (extra MP1584).</t>
  </si>
  <si>
    <t>Source</t>
  </si>
  <si>
    <t>Robu.in</t>
  </si>
  <si>
    <t>Lamington Road</t>
  </si>
  <si>
    <t>Grand Total (Purchased)</t>
  </si>
  <si>
    <t>Total:</t>
  </si>
  <si>
    <t>Bearings</t>
  </si>
  <si>
    <t>32.00 mm</t>
  </si>
  <si>
    <t>To make the arm frictionless</t>
  </si>
  <si>
    <t>32 mm bearings reduce friction in limb joints, improving motion precision and protecting servos for longer life.</t>
  </si>
  <si>
    <t>Low‑current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</si>
</sst>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 indent="1"/>
    </xf>
    <xf numFmtId="164" fontId="0" fillId="0" borderId="1" xfId="0" applyNumberFormat="1" applyBorder="1" applyAlignment="1">
      <alignment vertical="top" wrapText="1" inden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top" wrapText="1" indent="1"/>
    </xf>
    <xf numFmtId="164" fontId="1" fillId="0" borderId="1" xfId="0" applyNumberFormat="1" applyFont="1" applyBorder="1" applyAlignment="1">
      <alignment vertical="top" wrapText="1" indent="1"/>
    </xf>
    <xf numFmtId="0" fontId="0" fillId="0" borderId="1" xfId="0" applyBorder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A2" sqref="A2"/>
    </sheetView>
  </sheetViews>
  <sheetFormatPr defaultRowHeight="18" customHeight="1" x14ac:dyDescent="0.3"/>
  <cols>
    <col min="1" max="1" width="12.6640625" style="1" customWidth="1"/>
    <col min="2" max="2" width="36.6640625" style="1" customWidth="1"/>
    <col min="3" max="3" width="8.6640625" style="1" customWidth="1"/>
    <col min="4" max="4" width="14.6640625" style="2" customWidth="1"/>
    <col min="5" max="7" width="36.6640625" style="1" customWidth="1"/>
    <col min="8" max="8" width="14.6640625" style="2" customWidth="1"/>
  </cols>
  <sheetData>
    <row r="1" spans="1:8" ht="18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8" customHeight="1" x14ac:dyDescent="0.3">
      <c r="A2" s="1">
        <v>1</v>
      </c>
      <c r="B2" s="1" t="s">
        <v>8</v>
      </c>
      <c r="C2" s="1">
        <v>1</v>
      </c>
      <c r="D2" s="2">
        <v>84</v>
      </c>
      <c r="E2" s="1" t="s">
        <v>29</v>
      </c>
      <c r="F2" s="1" t="s">
        <v>50</v>
      </c>
      <c r="G2" s="1" t="s">
        <v>71</v>
      </c>
      <c r="H2" s="2">
        <v>84</v>
      </c>
    </row>
    <row r="3" spans="1:8" ht="18" customHeight="1" x14ac:dyDescent="0.3">
      <c r="A3" s="1">
        <v>2</v>
      </c>
      <c r="B3" s="1" t="s">
        <v>9</v>
      </c>
      <c r="C3" s="1">
        <v>2</v>
      </c>
      <c r="D3" s="2">
        <v>94</v>
      </c>
      <c r="E3" s="1" t="s">
        <v>30</v>
      </c>
      <c r="F3" s="1" t="s">
        <v>51</v>
      </c>
      <c r="G3" s="1" t="s">
        <v>72</v>
      </c>
      <c r="H3" s="2">
        <v>188</v>
      </c>
    </row>
    <row r="4" spans="1:8" ht="18" customHeight="1" x14ac:dyDescent="0.3">
      <c r="A4" s="1">
        <v>3</v>
      </c>
      <c r="B4" s="1" t="s">
        <v>10</v>
      </c>
      <c r="C4" s="1">
        <v>1</v>
      </c>
      <c r="D4" s="2">
        <v>54</v>
      </c>
      <c r="E4" s="1" t="s">
        <v>31</v>
      </c>
      <c r="F4" s="1" t="s">
        <v>52</v>
      </c>
      <c r="G4" s="1" t="s">
        <v>73</v>
      </c>
      <c r="H4" s="2">
        <v>54</v>
      </c>
    </row>
    <row r="5" spans="1:8" ht="18" customHeight="1" x14ac:dyDescent="0.3">
      <c r="A5" s="1">
        <v>4</v>
      </c>
      <c r="B5" s="1" t="s">
        <v>11</v>
      </c>
      <c r="C5" s="1">
        <v>1</v>
      </c>
      <c r="D5" s="2">
        <v>117</v>
      </c>
      <c r="E5" s="1" t="s">
        <v>32</v>
      </c>
      <c r="F5" s="1" t="s">
        <v>53</v>
      </c>
      <c r="G5" s="1" t="s">
        <v>74</v>
      </c>
      <c r="H5" s="2">
        <v>117</v>
      </c>
    </row>
    <row r="6" spans="1:8" ht="18" customHeight="1" x14ac:dyDescent="0.3">
      <c r="A6" s="1">
        <v>5</v>
      </c>
      <c r="B6" s="1" t="s">
        <v>12</v>
      </c>
      <c r="C6" s="1">
        <v>1</v>
      </c>
      <c r="D6" s="2">
        <v>117</v>
      </c>
      <c r="E6" s="1" t="s">
        <v>33</v>
      </c>
      <c r="F6" s="1" t="s">
        <v>54</v>
      </c>
      <c r="G6" s="1" t="s">
        <v>75</v>
      </c>
      <c r="H6" s="2">
        <v>117</v>
      </c>
    </row>
    <row r="7" spans="1:8" ht="18" customHeight="1" x14ac:dyDescent="0.3">
      <c r="A7" s="1">
        <v>6</v>
      </c>
      <c r="B7" s="1" t="s">
        <v>13</v>
      </c>
      <c r="C7" s="1">
        <v>1</v>
      </c>
      <c r="D7" s="2">
        <v>138</v>
      </c>
      <c r="E7" s="1" t="s">
        <v>34</v>
      </c>
      <c r="F7" s="1" t="s">
        <v>55</v>
      </c>
      <c r="G7" s="1" t="s">
        <v>76</v>
      </c>
      <c r="H7" s="2">
        <v>138</v>
      </c>
    </row>
    <row r="8" spans="1:8" ht="18" customHeight="1" x14ac:dyDescent="0.3">
      <c r="A8" s="1">
        <v>7</v>
      </c>
      <c r="B8" s="1" t="s">
        <v>14</v>
      </c>
      <c r="C8" s="1">
        <v>1</v>
      </c>
      <c r="D8" s="2">
        <v>95</v>
      </c>
      <c r="E8" s="1" t="s">
        <v>35</v>
      </c>
      <c r="F8" s="1" t="s">
        <v>56</v>
      </c>
      <c r="G8" s="1" t="s">
        <v>77</v>
      </c>
      <c r="H8" s="2">
        <v>95</v>
      </c>
    </row>
    <row r="9" spans="1:8" ht="18" customHeight="1" x14ac:dyDescent="0.3">
      <c r="A9" s="1">
        <v>8</v>
      </c>
      <c r="B9" s="1" t="s">
        <v>15</v>
      </c>
      <c r="C9" s="1">
        <v>2</v>
      </c>
      <c r="D9" s="2">
        <v>90</v>
      </c>
      <c r="E9" s="1" t="s">
        <v>36</v>
      </c>
      <c r="F9" s="1" t="s">
        <v>57</v>
      </c>
      <c r="G9" s="1" t="s">
        <v>78</v>
      </c>
      <c r="H9" s="2">
        <v>180</v>
      </c>
    </row>
    <row r="10" spans="1:8" ht="18" customHeight="1" x14ac:dyDescent="0.3">
      <c r="A10" s="1">
        <v>9</v>
      </c>
      <c r="B10" s="1" t="s">
        <v>16</v>
      </c>
      <c r="C10" s="1">
        <v>5</v>
      </c>
      <c r="D10" s="2">
        <v>6</v>
      </c>
      <c r="E10" s="1" t="s">
        <v>37</v>
      </c>
      <c r="F10" s="1" t="s">
        <v>58</v>
      </c>
      <c r="G10" s="1" t="s">
        <v>79</v>
      </c>
      <c r="H10" s="2">
        <v>30</v>
      </c>
    </row>
    <row r="11" spans="1:8" ht="18" customHeight="1" x14ac:dyDescent="0.3">
      <c r="A11" s="1">
        <v>10</v>
      </c>
      <c r="B11" s="1" t="s">
        <v>17</v>
      </c>
      <c r="C11" s="1">
        <v>1</v>
      </c>
      <c r="D11" s="2">
        <v>52</v>
      </c>
      <c r="E11" s="1" t="s">
        <v>38</v>
      </c>
      <c r="F11" s="1" t="s">
        <v>59</v>
      </c>
      <c r="G11" s="1" t="s">
        <v>80</v>
      </c>
      <c r="H11" s="2">
        <v>52</v>
      </c>
    </row>
    <row r="12" spans="1:8" ht="18" customHeight="1" x14ac:dyDescent="0.3">
      <c r="A12" s="1">
        <v>11</v>
      </c>
      <c r="B12" s="1" t="s">
        <v>18</v>
      </c>
      <c r="C12" s="1">
        <v>1</v>
      </c>
      <c r="D12" s="2">
        <v>68</v>
      </c>
      <c r="E12" s="1" t="s">
        <v>39</v>
      </c>
      <c r="F12" s="1" t="s">
        <v>60</v>
      </c>
      <c r="G12" s="1" t="s">
        <v>81</v>
      </c>
      <c r="H12" s="2">
        <v>68</v>
      </c>
    </row>
    <row r="13" spans="1:8" ht="18" customHeight="1" x14ac:dyDescent="0.3">
      <c r="A13" s="1">
        <v>12</v>
      </c>
      <c r="B13" s="1" t="s">
        <v>19</v>
      </c>
      <c r="C13" s="1">
        <v>2</v>
      </c>
      <c r="D13" s="2">
        <v>39</v>
      </c>
      <c r="E13" s="1" t="s">
        <v>40</v>
      </c>
      <c r="F13" s="1" t="s">
        <v>61</v>
      </c>
      <c r="G13" s="1" t="s">
        <v>82</v>
      </c>
      <c r="H13" s="2">
        <v>78</v>
      </c>
    </row>
    <row r="14" spans="1:8" ht="18" customHeight="1" x14ac:dyDescent="0.3">
      <c r="A14" s="1">
        <v>13</v>
      </c>
      <c r="B14" s="1" t="s">
        <v>20</v>
      </c>
      <c r="C14" s="1">
        <v>2</v>
      </c>
      <c r="D14" s="2">
        <v>369</v>
      </c>
      <c r="E14" s="1" t="s">
        <v>41</v>
      </c>
      <c r="F14" s="1" t="s">
        <v>62</v>
      </c>
      <c r="G14" s="1" t="s">
        <v>83</v>
      </c>
      <c r="H14" s="2">
        <v>738</v>
      </c>
    </row>
    <row r="15" spans="1:8" ht="18" customHeight="1" x14ac:dyDescent="0.3">
      <c r="A15" s="1">
        <v>14</v>
      </c>
      <c r="B15" s="1" t="s">
        <v>21</v>
      </c>
      <c r="C15" s="1">
        <v>4</v>
      </c>
      <c r="D15" s="2">
        <v>53</v>
      </c>
      <c r="E15" s="1" t="s">
        <v>42</v>
      </c>
      <c r="F15" s="1" t="s">
        <v>63</v>
      </c>
      <c r="G15" s="1" t="s">
        <v>84</v>
      </c>
      <c r="H15" s="2">
        <v>212</v>
      </c>
    </row>
    <row r="16" spans="1:8" ht="18" customHeight="1" x14ac:dyDescent="0.3">
      <c r="A16" s="1">
        <v>15</v>
      </c>
      <c r="B16" s="1" t="s">
        <v>22</v>
      </c>
      <c r="C16" s="1">
        <v>8</v>
      </c>
      <c r="D16" s="2">
        <v>1.38</v>
      </c>
      <c r="E16" s="1" t="s">
        <v>43</v>
      </c>
      <c r="F16" s="1" t="s">
        <v>64</v>
      </c>
      <c r="G16" s="1" t="s">
        <v>85</v>
      </c>
      <c r="H16" s="2">
        <v>11.04</v>
      </c>
    </row>
    <row r="17" spans="1:8" ht="18" customHeight="1" x14ac:dyDescent="0.3">
      <c r="A17" s="1">
        <v>16</v>
      </c>
      <c r="B17" s="1" t="s">
        <v>23</v>
      </c>
      <c r="C17" s="1">
        <v>2</v>
      </c>
      <c r="D17" s="2">
        <v>6</v>
      </c>
      <c r="E17" s="1" t="s">
        <v>44</v>
      </c>
      <c r="F17" s="1" t="s">
        <v>65</v>
      </c>
      <c r="G17" s="1" t="s">
        <v>86</v>
      </c>
      <c r="H17" s="2">
        <v>12</v>
      </c>
    </row>
    <row r="18" spans="1:8" ht="18" customHeight="1" x14ac:dyDescent="0.3">
      <c r="A18" s="1">
        <v>17</v>
      </c>
      <c r="B18" s="1" t="s">
        <v>24</v>
      </c>
      <c r="C18" s="1">
        <v>6</v>
      </c>
      <c r="D18" s="2">
        <v>7</v>
      </c>
      <c r="E18" s="1" t="s">
        <v>45</v>
      </c>
      <c r="F18" s="1" t="s">
        <v>66</v>
      </c>
      <c r="G18" s="1" t="s">
        <v>87</v>
      </c>
      <c r="H18" s="2">
        <v>42</v>
      </c>
    </row>
    <row r="19" spans="1:8" ht="18" customHeight="1" x14ac:dyDescent="0.3">
      <c r="A19" s="1">
        <v>18</v>
      </c>
      <c r="B19" s="1" t="s">
        <v>25</v>
      </c>
      <c r="C19" s="1">
        <v>1</v>
      </c>
      <c r="D19" s="2">
        <v>42</v>
      </c>
      <c r="E19" s="1" t="s">
        <v>46</v>
      </c>
      <c r="F19" s="1" t="s">
        <v>67</v>
      </c>
      <c r="G19" s="1" t="s">
        <v>88</v>
      </c>
      <c r="H19" s="2">
        <v>42</v>
      </c>
    </row>
    <row r="20" spans="1:8" ht="18" customHeight="1" x14ac:dyDescent="0.3">
      <c r="A20" s="1">
        <v>19</v>
      </c>
      <c r="B20" s="1" t="s">
        <v>26</v>
      </c>
      <c r="C20" s="1">
        <v>1</v>
      </c>
      <c r="D20" s="2">
        <v>35</v>
      </c>
      <c r="E20" s="1" t="s">
        <v>47</v>
      </c>
      <c r="F20" s="1" t="s">
        <v>68</v>
      </c>
      <c r="G20" s="1" t="s">
        <v>89</v>
      </c>
      <c r="H20" s="2">
        <v>35</v>
      </c>
    </row>
    <row r="21" spans="1:8" ht="18" customHeight="1" x14ac:dyDescent="0.3">
      <c r="A21" s="1">
        <v>20</v>
      </c>
      <c r="B21" s="1" t="s">
        <v>27</v>
      </c>
      <c r="C21" s="1">
        <v>4</v>
      </c>
      <c r="D21" s="2">
        <v>61</v>
      </c>
      <c r="E21" s="1" t="s">
        <v>48</v>
      </c>
      <c r="F21" s="1" t="s">
        <v>69</v>
      </c>
      <c r="G21" s="1" t="s">
        <v>90</v>
      </c>
      <c r="H21" s="2">
        <v>244</v>
      </c>
    </row>
    <row r="22" spans="1:8" ht="18" customHeight="1" x14ac:dyDescent="0.3">
      <c r="A22" s="1">
        <v>21</v>
      </c>
      <c r="B22" s="1" t="s">
        <v>28</v>
      </c>
      <c r="C22" s="1">
        <v>1</v>
      </c>
      <c r="D22" s="2">
        <v>153</v>
      </c>
      <c r="E22" s="1" t="s">
        <v>49</v>
      </c>
      <c r="F22" s="1" t="s">
        <v>70</v>
      </c>
      <c r="G22" s="1" t="s">
        <v>91</v>
      </c>
      <c r="H22" s="2">
        <v>153</v>
      </c>
    </row>
    <row r="23" spans="1:8" ht="18" customHeight="1" x14ac:dyDescent="0.3">
      <c r="A23" s="4" t="s">
        <v>195</v>
      </c>
      <c r="B23" s="4"/>
      <c r="C23" s="4">
        <f>SUM(C2:C22)</f>
        <v>48</v>
      </c>
      <c r="D23" s="5">
        <f>SUM(D2:D22)</f>
        <v>1681.38</v>
      </c>
      <c r="E23" s="4"/>
      <c r="F23" s="4"/>
      <c r="G23" s="4"/>
      <c r="H23" s="5">
        <f>SUM(H2:H22)</f>
        <v>2690.04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selection activeCell="G19" sqref="G19"/>
    </sheetView>
  </sheetViews>
  <sheetFormatPr defaultRowHeight="18" customHeight="1" x14ac:dyDescent="0.3"/>
  <cols>
    <col min="1" max="1" width="12.6640625" style="1" customWidth="1"/>
    <col min="2" max="2" width="36.6640625" style="1" customWidth="1"/>
    <col min="3" max="3" width="8.6640625" style="1" customWidth="1"/>
    <col min="4" max="4" width="14.6640625" style="2" customWidth="1"/>
    <col min="5" max="7" width="36.6640625" style="1" customWidth="1"/>
    <col min="8" max="8" width="14.6640625" style="2" customWidth="1"/>
  </cols>
  <sheetData>
    <row r="1" spans="1:8" ht="18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8" customHeight="1" x14ac:dyDescent="0.3">
      <c r="A2" s="1">
        <v>1</v>
      </c>
      <c r="B2" s="1" t="s">
        <v>92</v>
      </c>
      <c r="C2" s="1">
        <v>20</v>
      </c>
      <c r="D2" s="2">
        <v>225</v>
      </c>
      <c r="E2" s="1" t="s">
        <v>106</v>
      </c>
      <c r="F2" s="1" t="s">
        <v>120</v>
      </c>
      <c r="G2" s="1" t="s">
        <v>132</v>
      </c>
      <c r="H2" s="2">
        <v>4500</v>
      </c>
    </row>
    <row r="3" spans="1:8" ht="18" customHeight="1" x14ac:dyDescent="0.3">
      <c r="A3" s="1">
        <v>2</v>
      </c>
      <c r="B3" s="1" t="s">
        <v>93</v>
      </c>
      <c r="C3" s="1">
        <v>3</v>
      </c>
      <c r="D3" s="2">
        <v>40</v>
      </c>
      <c r="E3" s="1" t="s">
        <v>107</v>
      </c>
      <c r="F3" s="1" t="s">
        <v>121</v>
      </c>
      <c r="G3" s="1" t="s">
        <v>133</v>
      </c>
      <c r="H3" s="2">
        <v>120</v>
      </c>
    </row>
    <row r="4" spans="1:8" ht="18" customHeight="1" x14ac:dyDescent="0.3">
      <c r="A4" s="1">
        <v>3</v>
      </c>
      <c r="B4" s="1" t="s">
        <v>94</v>
      </c>
      <c r="C4" s="1">
        <v>2</v>
      </c>
      <c r="D4" s="2">
        <v>275</v>
      </c>
      <c r="E4" s="1" t="s">
        <v>108</v>
      </c>
      <c r="F4" s="1" t="s">
        <v>122</v>
      </c>
      <c r="G4" s="1" t="s">
        <v>134</v>
      </c>
      <c r="H4" s="2">
        <v>550</v>
      </c>
    </row>
    <row r="5" spans="1:8" ht="18" customHeight="1" x14ac:dyDescent="0.3">
      <c r="A5" s="1">
        <v>4</v>
      </c>
      <c r="B5" s="1" t="s">
        <v>95</v>
      </c>
      <c r="C5" s="1">
        <v>1</v>
      </c>
      <c r="D5" s="2">
        <v>1000</v>
      </c>
      <c r="E5" s="1" t="s">
        <v>109</v>
      </c>
      <c r="F5" s="1" t="s">
        <v>123</v>
      </c>
      <c r="G5" s="1" t="s">
        <v>135</v>
      </c>
      <c r="H5" s="2">
        <v>1000</v>
      </c>
    </row>
    <row r="6" spans="1:8" ht="18" customHeight="1" x14ac:dyDescent="0.3">
      <c r="A6" s="1">
        <v>5</v>
      </c>
      <c r="B6" s="1" t="s">
        <v>96</v>
      </c>
      <c r="C6" s="1">
        <v>1</v>
      </c>
      <c r="D6" s="2">
        <v>250</v>
      </c>
      <c r="E6" s="1" t="s">
        <v>110</v>
      </c>
      <c r="F6" s="1" t="s">
        <v>124</v>
      </c>
      <c r="G6" s="1" t="s">
        <v>136</v>
      </c>
      <c r="H6" s="2">
        <v>250</v>
      </c>
    </row>
    <row r="7" spans="1:8" ht="18" customHeight="1" x14ac:dyDescent="0.3">
      <c r="A7" s="1">
        <v>6</v>
      </c>
      <c r="B7" s="1" t="s">
        <v>97</v>
      </c>
      <c r="C7" s="1">
        <v>1</v>
      </c>
      <c r="D7" s="2">
        <v>175</v>
      </c>
      <c r="E7" s="1" t="s">
        <v>111</v>
      </c>
      <c r="F7" s="1" t="s">
        <v>125</v>
      </c>
      <c r="G7" s="1" t="s">
        <v>137</v>
      </c>
      <c r="H7" s="2">
        <v>175</v>
      </c>
    </row>
    <row r="8" spans="1:8" ht="18" customHeight="1" x14ac:dyDescent="0.3">
      <c r="A8" s="1">
        <v>7</v>
      </c>
      <c r="B8" s="1" t="s">
        <v>98</v>
      </c>
      <c r="C8" s="1">
        <v>1</v>
      </c>
      <c r="D8" s="2">
        <v>20</v>
      </c>
      <c r="E8" s="1" t="s">
        <v>112</v>
      </c>
      <c r="F8" s="1" t="s">
        <v>126</v>
      </c>
      <c r="G8" s="1" t="s">
        <v>138</v>
      </c>
      <c r="H8" s="2">
        <v>20</v>
      </c>
    </row>
    <row r="9" spans="1:8" ht="18" customHeight="1" x14ac:dyDescent="0.3">
      <c r="A9" s="1">
        <v>8</v>
      </c>
      <c r="B9" s="1" t="s">
        <v>99</v>
      </c>
      <c r="C9" s="1">
        <v>12</v>
      </c>
      <c r="D9" s="2">
        <v>1</v>
      </c>
      <c r="E9" s="1" t="s">
        <v>113</v>
      </c>
      <c r="F9" s="1" t="s">
        <v>127</v>
      </c>
      <c r="G9" s="1" t="s">
        <v>139</v>
      </c>
      <c r="H9" s="2">
        <v>12</v>
      </c>
    </row>
    <row r="10" spans="1:8" ht="18" customHeight="1" x14ac:dyDescent="0.3">
      <c r="A10" s="1">
        <v>9</v>
      </c>
      <c r="B10" s="1" t="s">
        <v>100</v>
      </c>
      <c r="C10" s="1">
        <v>2</v>
      </c>
      <c r="D10" s="2">
        <v>5</v>
      </c>
      <c r="E10" s="1" t="s">
        <v>114</v>
      </c>
      <c r="F10" s="1" t="s">
        <v>128</v>
      </c>
      <c r="G10" s="1" t="s">
        <v>140</v>
      </c>
      <c r="H10" s="2">
        <v>10</v>
      </c>
    </row>
    <row r="11" spans="1:8" ht="18" customHeight="1" x14ac:dyDescent="0.3">
      <c r="A11" s="1">
        <v>10</v>
      </c>
      <c r="B11" s="1" t="s">
        <v>101</v>
      </c>
      <c r="C11" s="1">
        <v>8</v>
      </c>
      <c r="D11" s="2">
        <v>65</v>
      </c>
      <c r="E11" s="1" t="s">
        <v>115</v>
      </c>
      <c r="F11" s="1" t="s">
        <v>129</v>
      </c>
      <c r="G11" s="1" t="s">
        <v>141</v>
      </c>
      <c r="H11" s="2">
        <v>520</v>
      </c>
    </row>
    <row r="12" spans="1:8" ht="18" customHeight="1" x14ac:dyDescent="0.3">
      <c r="A12" s="1">
        <v>11</v>
      </c>
      <c r="B12" s="1" t="s">
        <v>102</v>
      </c>
      <c r="C12" s="1">
        <v>1</v>
      </c>
      <c r="D12" s="2">
        <v>450</v>
      </c>
      <c r="E12" s="1" t="s">
        <v>116</v>
      </c>
      <c r="F12" s="1" t="s">
        <v>130</v>
      </c>
      <c r="G12" s="1" t="s">
        <v>142</v>
      </c>
      <c r="H12" s="2">
        <v>450</v>
      </c>
    </row>
    <row r="13" spans="1:8" ht="18" customHeight="1" x14ac:dyDescent="0.3">
      <c r="A13" s="1">
        <v>12</v>
      </c>
      <c r="B13" s="1" t="s">
        <v>103</v>
      </c>
      <c r="C13" s="1">
        <v>1</v>
      </c>
      <c r="D13" s="2">
        <v>140</v>
      </c>
      <c r="E13" s="1" t="s">
        <v>117</v>
      </c>
      <c r="F13" s="1" t="s">
        <v>131</v>
      </c>
      <c r="G13" s="1" t="s">
        <v>143</v>
      </c>
      <c r="H13" s="2">
        <v>140</v>
      </c>
    </row>
    <row r="14" spans="1:8" ht="18" customHeight="1" x14ac:dyDescent="0.3">
      <c r="A14" s="1">
        <v>13</v>
      </c>
      <c r="B14" s="1" t="s">
        <v>104</v>
      </c>
      <c r="C14" s="1">
        <v>1</v>
      </c>
      <c r="D14" s="2">
        <v>120</v>
      </c>
      <c r="E14" s="1" t="s">
        <v>118</v>
      </c>
      <c r="F14" s="1" t="s">
        <v>130</v>
      </c>
      <c r="G14" s="1" t="s">
        <v>144</v>
      </c>
      <c r="H14" s="2">
        <v>120</v>
      </c>
    </row>
    <row r="15" spans="1:8" ht="44.4" customHeight="1" x14ac:dyDescent="0.3">
      <c r="A15" s="1">
        <v>14</v>
      </c>
      <c r="B15" s="1" t="s">
        <v>196</v>
      </c>
      <c r="C15" s="1">
        <v>18</v>
      </c>
      <c r="D15" s="2">
        <v>35</v>
      </c>
      <c r="E15" s="1" t="s">
        <v>197</v>
      </c>
      <c r="F15" s="1" t="s">
        <v>198</v>
      </c>
      <c r="G15" s="6" t="s">
        <v>199</v>
      </c>
      <c r="H15" s="2">
        <f>SUM(35*18)</f>
        <v>630</v>
      </c>
    </row>
    <row r="16" spans="1:8" ht="18" customHeight="1" x14ac:dyDescent="0.3">
      <c r="A16" s="1">
        <v>15</v>
      </c>
      <c r="B16" s="1" t="s">
        <v>105</v>
      </c>
      <c r="C16" s="1">
        <v>1</v>
      </c>
      <c r="D16" s="2">
        <v>40</v>
      </c>
      <c r="E16" s="1" t="s">
        <v>119</v>
      </c>
      <c r="F16" s="1" t="s">
        <v>200</v>
      </c>
      <c r="G16" s="1" t="s">
        <v>145</v>
      </c>
      <c r="H16" s="2">
        <v>40</v>
      </c>
    </row>
    <row r="17" spans="1:8" ht="18" customHeight="1" x14ac:dyDescent="0.3">
      <c r="A17" s="4" t="s">
        <v>195</v>
      </c>
      <c r="B17" s="4"/>
      <c r="C17" s="4">
        <f>SUM(C2:C16)</f>
        <v>73</v>
      </c>
      <c r="D17" s="5">
        <f>SUM(D2:D16)</f>
        <v>2841</v>
      </c>
      <c r="E17" s="4"/>
      <c r="F17" s="4"/>
      <c r="G17" s="4"/>
      <c r="H17" s="5">
        <f>SUM(H2:H16)</f>
        <v>8537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A2" sqref="A2"/>
    </sheetView>
  </sheetViews>
  <sheetFormatPr defaultRowHeight="18" customHeight="1" x14ac:dyDescent="0.3"/>
  <cols>
    <col min="1" max="1" width="26.6640625" style="1" customWidth="1"/>
    <col min="2" max="2" width="10.6640625" style="1" customWidth="1"/>
    <col min="3" max="3" width="14.6640625" style="2" customWidth="1"/>
    <col min="4" max="4" width="36.6640625" style="1" customWidth="1"/>
  </cols>
  <sheetData>
    <row r="1" spans="1:4" ht="31.2" customHeight="1" x14ac:dyDescent="0.3">
      <c r="A1" s="3" t="s">
        <v>146</v>
      </c>
      <c r="B1" s="3" t="s">
        <v>147</v>
      </c>
      <c r="C1" s="3" t="s">
        <v>148</v>
      </c>
      <c r="D1" s="3" t="s">
        <v>149</v>
      </c>
    </row>
    <row r="2" spans="1:4" ht="18" customHeight="1" x14ac:dyDescent="0.3">
      <c r="A2" s="1" t="s">
        <v>150</v>
      </c>
      <c r="B2" s="1" t="s">
        <v>159</v>
      </c>
      <c r="C2" s="2">
        <v>200</v>
      </c>
      <c r="D2" s="1" t="s">
        <v>164</v>
      </c>
    </row>
    <row r="3" spans="1:4" ht="18" customHeight="1" x14ac:dyDescent="0.3">
      <c r="A3" s="1" t="s">
        <v>151</v>
      </c>
      <c r="B3" s="1" t="s">
        <v>159</v>
      </c>
      <c r="C3" s="2">
        <v>160</v>
      </c>
      <c r="D3" s="1" t="s">
        <v>165</v>
      </c>
    </row>
    <row r="4" spans="1:4" ht="18" customHeight="1" x14ac:dyDescent="0.3">
      <c r="A4" s="1" t="s">
        <v>152</v>
      </c>
      <c r="B4" s="1" t="s">
        <v>159</v>
      </c>
      <c r="C4" s="2">
        <v>120</v>
      </c>
      <c r="D4" s="1" t="s">
        <v>166</v>
      </c>
    </row>
    <row r="5" spans="1:4" ht="18" customHeight="1" x14ac:dyDescent="0.3">
      <c r="A5" s="1" t="s">
        <v>153</v>
      </c>
      <c r="B5" s="1" t="s">
        <v>159</v>
      </c>
      <c r="C5" s="2">
        <v>80</v>
      </c>
      <c r="D5" s="1" t="s">
        <v>167</v>
      </c>
    </row>
    <row r="6" spans="1:4" ht="18" customHeight="1" x14ac:dyDescent="0.3">
      <c r="A6" s="1" t="s">
        <v>154</v>
      </c>
      <c r="B6" s="1" t="s">
        <v>160</v>
      </c>
      <c r="C6" s="2">
        <v>80</v>
      </c>
      <c r="D6" s="1" t="s">
        <v>168</v>
      </c>
    </row>
    <row r="7" spans="1:4" ht="18" customHeight="1" x14ac:dyDescent="0.3">
      <c r="A7" s="1" t="s">
        <v>155</v>
      </c>
      <c r="B7" s="1" t="s">
        <v>161</v>
      </c>
      <c r="C7" s="2">
        <v>60</v>
      </c>
      <c r="D7" s="1" t="s">
        <v>169</v>
      </c>
    </row>
    <row r="8" spans="1:4" ht="18" customHeight="1" x14ac:dyDescent="0.3">
      <c r="A8" s="1" t="s">
        <v>156</v>
      </c>
      <c r="B8" s="1" t="s">
        <v>162</v>
      </c>
      <c r="C8" s="2">
        <v>100</v>
      </c>
      <c r="D8" s="1" t="s">
        <v>170</v>
      </c>
    </row>
    <row r="9" spans="1:4" ht="18" customHeight="1" x14ac:dyDescent="0.3">
      <c r="A9" s="1" t="s">
        <v>157</v>
      </c>
      <c r="B9" s="1" t="s">
        <v>161</v>
      </c>
      <c r="C9" s="2">
        <v>180</v>
      </c>
      <c r="D9" s="1" t="s">
        <v>171</v>
      </c>
    </row>
    <row r="10" spans="1:4" ht="18" customHeight="1" x14ac:dyDescent="0.3">
      <c r="A10" s="1" t="s">
        <v>158</v>
      </c>
      <c r="B10" s="1" t="s">
        <v>163</v>
      </c>
      <c r="C10" s="2">
        <v>100</v>
      </c>
      <c r="D10" s="1" t="s">
        <v>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E9" sqref="E9"/>
    </sheetView>
  </sheetViews>
  <sheetFormatPr defaultRowHeight="18" customHeight="1" x14ac:dyDescent="0.3"/>
  <cols>
    <col min="1" max="1" width="19.88671875" style="1" customWidth="1"/>
    <col min="2" max="2" width="105.6640625" style="1" customWidth="1"/>
  </cols>
  <sheetData>
    <row r="1" spans="1:2" ht="18" customHeight="1" x14ac:dyDescent="0.3">
      <c r="A1" s="3" t="s">
        <v>173</v>
      </c>
      <c r="B1" s="3" t="s">
        <v>174</v>
      </c>
    </row>
    <row r="2" spans="1:2" ht="18" customHeight="1" x14ac:dyDescent="0.3">
      <c r="A2" s="1" t="s">
        <v>175</v>
      </c>
      <c r="B2" s="1" t="s">
        <v>183</v>
      </c>
    </row>
    <row r="3" spans="1:2" ht="18" customHeight="1" x14ac:dyDescent="0.3">
      <c r="A3" s="1" t="s">
        <v>176</v>
      </c>
      <c r="B3" s="1" t="s">
        <v>184</v>
      </c>
    </row>
    <row r="4" spans="1:2" ht="18" customHeight="1" x14ac:dyDescent="0.3">
      <c r="A4" s="1" t="s">
        <v>177</v>
      </c>
      <c r="B4" s="1" t="s">
        <v>185</v>
      </c>
    </row>
    <row r="5" spans="1:2" ht="18" customHeight="1" x14ac:dyDescent="0.3">
      <c r="A5" s="1" t="s">
        <v>178</v>
      </c>
      <c r="B5" s="1" t="s">
        <v>186</v>
      </c>
    </row>
    <row r="6" spans="1:2" ht="18" customHeight="1" x14ac:dyDescent="0.3">
      <c r="A6" s="1" t="s">
        <v>179</v>
      </c>
      <c r="B6" s="1" t="s">
        <v>187</v>
      </c>
    </row>
    <row r="7" spans="1:2" ht="18" customHeight="1" x14ac:dyDescent="0.3">
      <c r="A7" s="1" t="s">
        <v>180</v>
      </c>
      <c r="B7" s="1" t="s">
        <v>188</v>
      </c>
    </row>
    <row r="8" spans="1:2" ht="18" customHeight="1" x14ac:dyDescent="0.3">
      <c r="A8" s="1" t="s">
        <v>181</v>
      </c>
      <c r="B8" s="1" t="s">
        <v>189</v>
      </c>
    </row>
    <row r="9" spans="1:2" ht="18" customHeight="1" x14ac:dyDescent="0.3">
      <c r="A9" s="1" t="s">
        <v>182</v>
      </c>
      <c r="B9" s="1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tabSelected="1" workbookViewId="0">
      <selection activeCell="I15" sqref="I15"/>
    </sheetView>
  </sheetViews>
  <sheetFormatPr defaultRowHeight="18" customHeight="1" x14ac:dyDescent="0.3"/>
  <cols>
    <col min="1" max="1" width="18.21875" style="1" customWidth="1"/>
    <col min="2" max="2" width="15" style="2" customWidth="1"/>
  </cols>
  <sheetData>
    <row r="1" spans="1:3" ht="18" customHeight="1" x14ac:dyDescent="0.3">
      <c r="A1" s="3" t="s">
        <v>191</v>
      </c>
      <c r="B1" s="3" t="s">
        <v>7</v>
      </c>
    </row>
    <row r="2" spans="1:3" ht="18" customHeight="1" x14ac:dyDescent="0.3">
      <c r="A2" s="1" t="s">
        <v>192</v>
      </c>
      <c r="B2" s="2">
        <v>2690.04</v>
      </c>
    </row>
    <row r="3" spans="1:3" ht="18" customHeight="1" x14ac:dyDescent="0.3">
      <c r="A3" s="1" t="s">
        <v>193</v>
      </c>
      <c r="B3" s="2">
        <v>8537</v>
      </c>
    </row>
    <row r="4" spans="1:3" ht="18" customHeight="1" x14ac:dyDescent="0.3">
      <c r="A4" s="4" t="s">
        <v>194</v>
      </c>
      <c r="B4" s="5">
        <f>SUM(B2:B3)</f>
        <v>11227.04</v>
      </c>
      <c r="C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Robu.in Purchases</vt:lpstr>
      <vt:lpstr>Lamington Road</vt:lpstr>
      <vt:lpstr>Recommended Extras</vt:lpstr>
      <vt:lpstr>Overall Evaluation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</dc:creator>
  <cp:lastModifiedBy>Bilal Sabugar</cp:lastModifiedBy>
  <dcterms:created xsi:type="dcterms:W3CDTF">2025-10-20T12:56:50Z</dcterms:created>
  <dcterms:modified xsi:type="dcterms:W3CDTF">2025-11-05T16:30:41Z</dcterms:modified>
</cp:coreProperties>
</file>